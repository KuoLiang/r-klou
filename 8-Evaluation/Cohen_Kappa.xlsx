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lou/Desktop/"/>
    </mc:Choice>
  </mc:AlternateContent>
  <xr:revisionPtr revIDLastSave="0" documentId="13_ncr:1_{1ED6C24A-0C3F-3741-9B20-2348042EA04C}" xr6:coauthVersionLast="47" xr6:coauthVersionMax="47" xr10:uidLastSave="{00000000-0000-0000-0000-000000000000}"/>
  <bookViews>
    <workbookView xWindow="8280" yWindow="3660" windowWidth="28240" windowHeight="17320" xr2:uid="{27ED9570-94EF-304A-A207-5A1E2BE32F0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31" i="1"/>
  <c r="F32" i="1" s="1"/>
  <c r="F9" i="1"/>
  <c r="F28" i="1"/>
  <c r="F17" i="1"/>
  <c r="B21" i="1" s="1"/>
  <c r="B9" i="1"/>
  <c r="B8" i="1"/>
  <c r="F5" i="1"/>
  <c r="B20" i="1" l="1"/>
  <c r="F21" i="1" s="1"/>
</calcChain>
</file>

<file path=xl/sharedStrings.xml><?xml version="1.0" encoding="utf-8"?>
<sst xmlns="http://schemas.openxmlformats.org/spreadsheetml/2006/main" count="31" uniqueCount="14">
  <si>
    <t>Choen's Kappa</t>
    <phoneticPr fontId="1" type="noConversion"/>
  </si>
  <si>
    <t>Y</t>
  </si>
  <si>
    <t>Y</t>
    <phoneticPr fontId="1" type="noConversion"/>
  </si>
  <si>
    <t>N</t>
  </si>
  <si>
    <t>N</t>
    <phoneticPr fontId="1" type="noConversion"/>
  </si>
  <si>
    <t>MODEL</t>
  </si>
  <si>
    <t>MODEL</t>
    <phoneticPr fontId="1" type="noConversion"/>
  </si>
  <si>
    <t>HUMAN</t>
  </si>
  <si>
    <t>HUMAN</t>
    <phoneticPr fontId="1" type="noConversion"/>
  </si>
  <si>
    <t>Pe</t>
    <phoneticPr fontId="1" type="noConversion"/>
  </si>
  <si>
    <t>Po</t>
    <phoneticPr fontId="1" type="noConversion"/>
  </si>
  <si>
    <t>total</t>
  </si>
  <si>
    <t>total</t>
    <phoneticPr fontId="1" type="noConversion"/>
  </si>
  <si>
    <t>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</si>
</sst>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" fillId="0" borderId="0" xfId="0" applyFont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4EE8-350D-1749-806D-110E44382C13}">
  <dimension ref="A1:I32"/>
  <sheetViews>
    <sheetView tabSelected="1" zoomScale="159" workbookViewId="0">
      <selection activeCell="D18" sqref="D18"/>
    </sheetView>
  </sheetViews>
  <sheetFormatPr baseColWidth="10" defaultRowHeight="15"/>
  <sheetData>
    <row r="1" spans="1:9">
      <c r="A1" t="s">
        <v>0</v>
      </c>
    </row>
    <row r="2" spans="1:9">
      <c r="C2" s="2" t="s">
        <v>8</v>
      </c>
      <c r="D2" s="2"/>
    </row>
    <row r="3" spans="1:9">
      <c r="A3" s="2"/>
      <c r="B3" s="2"/>
      <c r="C3" s="2" t="s">
        <v>2</v>
      </c>
      <c r="D3" s="2" t="s">
        <v>4</v>
      </c>
    </row>
    <row r="4" spans="1:9">
      <c r="A4" s="2" t="s">
        <v>6</v>
      </c>
      <c r="B4" s="2" t="s">
        <v>2</v>
      </c>
      <c r="C4" s="1">
        <v>34</v>
      </c>
      <c r="D4" s="1">
        <v>16</v>
      </c>
      <c r="F4" s="2" t="s">
        <v>12</v>
      </c>
    </row>
    <row r="5" spans="1:9">
      <c r="A5" s="2"/>
      <c r="B5" s="2" t="s">
        <v>4</v>
      </c>
      <c r="C5" s="1">
        <v>12</v>
      </c>
      <c r="D5" s="1">
        <v>38</v>
      </c>
      <c r="F5" s="4">
        <f>(C4+C5+D4+D5)</f>
        <v>100</v>
      </c>
    </row>
    <row r="7" spans="1:9">
      <c r="I7" s="3"/>
    </row>
    <row r="8" spans="1:9">
      <c r="A8" t="s">
        <v>10</v>
      </c>
      <c r="B8">
        <f>(C4+D5)/F5</f>
        <v>0.72</v>
      </c>
      <c r="F8" t="s">
        <v>13</v>
      </c>
    </row>
    <row r="9" spans="1:9">
      <c r="A9" t="s">
        <v>9</v>
      </c>
      <c r="B9">
        <f>(((C4+D4)/F5 )* ((C4+C5)/F5)) + (((C5+D5)/F5)*(D4+D5)/F5)</f>
        <v>0.5</v>
      </c>
      <c r="F9">
        <f>(B8-B9)/(1-B9)</f>
        <v>0.43999999999999995</v>
      </c>
    </row>
    <row r="14" spans="1:9">
      <c r="C14" s="2" t="s">
        <v>8</v>
      </c>
      <c r="D14" s="2"/>
    </row>
    <row r="15" spans="1:9">
      <c r="A15" s="2"/>
      <c r="B15" s="2"/>
      <c r="C15" s="2" t="s">
        <v>2</v>
      </c>
      <c r="D15" s="2" t="s">
        <v>4</v>
      </c>
    </row>
    <row r="16" spans="1:9">
      <c r="A16" s="2" t="s">
        <v>6</v>
      </c>
      <c r="B16" s="2" t="s">
        <v>2</v>
      </c>
      <c r="C16" s="1">
        <v>800</v>
      </c>
      <c r="D16" s="1">
        <v>1</v>
      </c>
      <c r="F16" s="2" t="s">
        <v>12</v>
      </c>
    </row>
    <row r="17" spans="1:6">
      <c r="A17" s="2"/>
      <c r="B17" s="2" t="s">
        <v>4</v>
      </c>
      <c r="C17" s="1">
        <v>9</v>
      </c>
      <c r="D17" s="1">
        <v>10</v>
      </c>
      <c r="F17" s="4">
        <f>(C16+C17+D16+D17)</f>
        <v>820</v>
      </c>
    </row>
    <row r="20" spans="1:6">
      <c r="A20" t="s">
        <v>10</v>
      </c>
      <c r="B20">
        <f>(C16+D17)/F17</f>
        <v>0.98780487804878048</v>
      </c>
      <c r="F20" t="s">
        <v>13</v>
      </c>
    </row>
    <row r="21" spans="1:6">
      <c r="A21" t="s">
        <v>9</v>
      </c>
      <c r="B21">
        <f>(((C16+D16)/F17 )* ((C16+C17)/F17)) + (((C17+D17)/F17)*(D16+D17)/F17)</f>
        <v>0.96403628792385487</v>
      </c>
      <c r="F21">
        <f>(B20-B21)/(1-B21)</f>
        <v>0.66090480522702788</v>
      </c>
    </row>
    <row r="25" spans="1:6">
      <c r="A25" s="5"/>
      <c r="B25" s="5"/>
      <c r="C25" s="6" t="s">
        <v>7</v>
      </c>
      <c r="D25" s="6"/>
      <c r="E25" s="5"/>
      <c r="F25" s="5"/>
    </row>
    <row r="26" spans="1:6">
      <c r="A26" s="6"/>
      <c r="B26" s="6"/>
      <c r="C26" s="6" t="s">
        <v>1</v>
      </c>
      <c r="D26" s="6" t="s">
        <v>3</v>
      </c>
      <c r="E26" s="5"/>
      <c r="F26" s="5"/>
    </row>
    <row r="27" spans="1:6">
      <c r="A27" s="6" t="s">
        <v>5</v>
      </c>
      <c r="B27" s="6" t="s">
        <v>1</v>
      </c>
      <c r="C27" s="7">
        <v>0</v>
      </c>
      <c r="D27" s="7">
        <v>50</v>
      </c>
      <c r="E27" s="5"/>
      <c r="F27" s="6" t="s">
        <v>11</v>
      </c>
    </row>
    <row r="28" spans="1:6">
      <c r="A28" s="6"/>
      <c r="B28" s="6" t="s">
        <v>3</v>
      </c>
      <c r="C28" s="7">
        <v>50</v>
      </c>
      <c r="D28" s="7">
        <v>0</v>
      </c>
      <c r="E28" s="5"/>
      <c r="F28" s="4">
        <f>(C27+C28+D27+D28)</f>
        <v>100</v>
      </c>
    </row>
    <row r="29" spans="1:6">
      <c r="A29" s="5"/>
      <c r="B29" s="5"/>
      <c r="C29" s="5"/>
      <c r="D29" s="5"/>
      <c r="E29" s="5"/>
      <c r="F29" s="5"/>
    </row>
    <row r="30" spans="1:6">
      <c r="A30" s="5"/>
      <c r="B30" s="5"/>
      <c r="C30" s="5"/>
      <c r="D30" s="5"/>
      <c r="E30" s="5"/>
      <c r="F30" s="5"/>
    </row>
    <row r="31" spans="1:6">
      <c r="A31" t="s">
        <v>10</v>
      </c>
      <c r="B31">
        <f>(C27+D28)/F28</f>
        <v>0</v>
      </c>
      <c r="C31" s="5"/>
      <c r="D31" s="5"/>
      <c r="E31" s="5"/>
      <c r="F31" t="s">
        <v>13</v>
      </c>
    </row>
    <row r="32" spans="1:6">
      <c r="A32" t="s">
        <v>9</v>
      </c>
      <c r="B32">
        <f>(((C27+D27)/F28 )* ((C27+C28)/F28)) + (((C28+D28)/F28)*(D27+D28)/F28)</f>
        <v>0.5</v>
      </c>
      <c r="C32" s="5"/>
      <c r="D32" s="5"/>
      <c r="E32" s="5"/>
      <c r="F32">
        <f>(B31-B32)/(1-B32)</f>
        <v>-1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區國良</dc:creator>
  <cp:lastModifiedBy>區國良</cp:lastModifiedBy>
  <dcterms:created xsi:type="dcterms:W3CDTF">2025-11-25T00:40:36Z</dcterms:created>
  <dcterms:modified xsi:type="dcterms:W3CDTF">2025-11-26T00:32:29Z</dcterms:modified>
</cp:coreProperties>
</file>